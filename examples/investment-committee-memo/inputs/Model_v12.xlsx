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ab44ecf344715" /><Relationship Type="http://schemas.openxmlformats.org/package/2006/relationships/metadata/core-properties" Target="/docProps/core.xml" Id="Rbaa21e3e2d924469" /><Relationship Type="http://schemas.openxmlformats.org/officeDocument/2006/relationships/extended-properties" Target="/docProps/app.xml" Id="R4ae84e2d887c4521" /><Relationship Type="http://schemas.openxmlformats.org/officeDocument/2006/relationships/custom-properties" Target="/docProps/custom.xml" Id="R6a26378b6af144e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RevenueBuild" sheetId="1" r:id="rId1"/>
    <x:sheet name="P&amp;L" sheetId="2" r:id="Red683777aeed401d"/>
  </x:sheets>
  <x:calcPr fullCalcOnLoad="1"/>
</x:workbook>
</file>

<file path=xl/styles.xml><?xml version="1.0" encoding="utf-8"?>
<x:styleSheet xmlns:x="http://schemas.openxmlformats.org/spreadsheetml/2006/main">
  <x:numFmts count="1">
    <x:numFmt numFmtId="164" formatCode="0.0%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/>
    <x:xf numFmtId="3" fontId="0" fillId="0" borderId="0" applyNumberFormat="1"/>
    <x:xf numFmtId="164" fontId="0" fillId="0" border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169a5d849692457b" /><Relationship Type="http://schemas.openxmlformats.org/officeDocument/2006/relationships/styles" Target="/xl/styles.xml" Id="Re8912bfd8f2a4cc4" /><Relationship Type="http://schemas.openxmlformats.org/officeDocument/2006/relationships/worksheet" Target="/xl/worksheets/sheet2.xml" Id="Red683777aeed401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Project Alder — Revenue build (synthetic, illustrative)</x:v>
      </x:c>
    </x:row>
    <x:row r="3">
      <x:c r="A3" t="str">
        <x:v>Product line</x:v>
      </x:c>
      <x:c r="B3" t="str">
        <x:v>FY2024</x:v>
      </x:c>
      <x:c r="C3" t="str">
        <x:v>FY2025</x:v>
      </x:c>
    </x:row>
    <x:row r="4">
      <x:c r="A4" t="str">
        <x:v>Core platform subscriptions</x:v>
      </x:c>
      <x:c r="B4" s="1">
        <x:v>24100000</x:v>
      </x:c>
      <x:c r="C4" s="1">
        <x:v>28400000</x:v>
      </x:c>
    </x:row>
    <x:row r="5">
      <x:c r="A5" t="str">
        <x:v>Payments module</x:v>
      </x:c>
      <x:c r="B5" s="1">
        <x:v>8900000</x:v>
      </x:c>
      <x:c r="C5" s="1">
        <x:v>10300000</x:v>
      </x:c>
    </x:row>
    <x:row r="6">
      <x:c r="A6" t="str">
        <x:v>Data &amp; analytics module</x:v>
      </x:c>
      <x:c r="B6" s="1">
        <x:v>5200000</x:v>
      </x:c>
      <x:c r="C6" s="1">
        <x:v>6400000</x:v>
      </x:c>
    </x:row>
    <x:row r="7">
      <x:c r="A7" t="str">
        <x:v>Implementation &amp; services</x:v>
      </x:c>
      <x:c r="B7" s="1">
        <x:v>2700000</x:v>
      </x:c>
      <x:c r="C7" s="1">
        <x:v>3100000</x:v>
      </x:c>
    </x:row>
    <x:row r="8">
      <x:c r="A8" t="str">
        <x:v>Total revenue</x:v>
      </x:c>
      <x:c r="B8" s="1">
        <x:f>SUM(B4:B7)</x:f>
        <x:v>40900000</x:v>
      </x:c>
      <x:c r="C8" s="1">
        <x:f>SUM(C4:C7)</x:f>
        <x:v>48200000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Project Alder — P&amp;L (synthetic, illustrative)</x:v>
      </x:c>
    </x:row>
    <x:row r="3">
      <x:c r="A3" t="str">
        <x:v>FY2025 (USD)</x:v>
      </x:c>
    </x:row>
    <x:row r="4">
      <x:c r="A4" t="str">
        <x:v>Revenue</x:v>
      </x:c>
      <x:c r="B4" s="1">
        <x:f>RevenueBuild!C8</x:f>
        <x:v>48200000</x:v>
      </x:c>
    </x:row>
    <x:row r="5">
      <x:c r="A5" t="str">
        <x:v>Cost of revenue</x:v>
      </x:c>
      <x:c r="B5" s="1">
        <x:v>15900000</x:v>
      </x:c>
    </x:row>
    <x:row r="6">
      <x:c r="A6" t="str">
        <x:v>Gross profit</x:v>
      </x:c>
      <x:c r="B6" s="1">
        <x:f>B4-B5</x:f>
        <x:v>32300000</x:v>
      </x:c>
    </x:row>
    <x:row r="7">
      <x:c r="A7" t="str">
        <x:v>Operating expenses (excl. D&amp;A)</x:v>
      </x:c>
      <x:c r="B7" s="1">
        <x:v>21503200</x:v>
      </x:c>
    </x:row>
    <x:row r="8">
      <x:c r="A8" t="str">
        <x:v>EBITDA</x:v>
      </x:c>
      <x:c r="B8" s="1">
        <x:f>B6-B7</x:f>
        <x:v>10796800</x:v>
      </x:c>
    </x:row>
    <x:row r="9">
      <x:c r="A9" t="str">
        <x:v>EBITDA margin</x:v>
      </x:c>
      <x:c r="B9" s="2">
        <x:f>B8/B4</x:f>
        <x:v>0.224</x:v>
      </x:c>
    </x:row>
  </x:sheetData>
</x:worksheet>
</file>

<file path=docProps/app.xml><?xml version="1.0" encoding="utf-8"?>
<ap:Properties xmlns:ap="http://schemas.openxmlformats.org/officeDocument/2006/extended-properties">
  <ap:Application>OfficeCLI/1.0.135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2026-07-10T06:27:55Z</dcterms:created>
  <cp:lastModifiedBy>OfficeCLI</cp:lastModifiedBy>
  <dcterms:modified xsi:type="dcterms:W3CDTF">2026-07-10T06:27:55Z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1.0.135</vt:lpwstr>
  </op:property>
  <op:property fmtid="{D5CDD505-2E9C-101B-9397-08002B2CF9AE}" pid="3" name="OfficeCLI.LastModified">
    <vt:lpwstr xmlns:vt="http://schemas.openxmlformats.org/officeDocument/2006/docPropsVTypes">2026-07-10T06:27:57Z</vt:lpwstr>
  </op:property>
</op:Properties>
</file>